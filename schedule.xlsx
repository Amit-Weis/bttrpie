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ni\First year\MTE 100\ROBOT PROJECT\"/>
    </mc:Choice>
  </mc:AlternateContent>
  <xr:revisionPtr revIDLastSave="0" documentId="13_ncr:11_{BA25B2B1-A020-41B7-BBCF-9ABF78F40284}" xr6:coauthVersionLast="47" xr6:coauthVersionMax="47" xr10:uidLastSave="{00000000-0000-0000-0000-000000000000}"/>
  <bookViews>
    <workbookView xWindow="-108" yWindow="-108" windowWidth="30936" windowHeight="16776" xr2:uid="{00000000-000D-0000-FFFF-FFFF00000000}"/>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1" l="1"/>
  <c r="E24" i="11"/>
  <c r="E25" i="11" s="1"/>
  <c r="E26" i="11"/>
  <c r="O1" i="11" l="1"/>
  <c r="D8" i="11" s="1"/>
  <c r="D12" i="11" s="1"/>
  <c r="D11" i="11" l="1"/>
  <c r="E11" i="11"/>
  <c r="D9" i="11"/>
  <c r="E9" i="11" s="1"/>
  <c r="D10" i="11"/>
  <c r="E10" i="11" s="1"/>
  <c r="D14" i="11" s="1"/>
  <c r="E14" i="11" s="1"/>
  <c r="E8" i="11"/>
  <c r="G5" i="11"/>
  <c r="F23" i="11"/>
  <c r="F18" i="11"/>
  <c r="F13" i="11"/>
  <c r="F7" i="11"/>
  <c r="F8" i="11" l="1"/>
  <c r="D15" i="11"/>
  <c r="G6" i="11"/>
  <c r="D16" i="11" l="1"/>
  <c r="E16" i="11" s="1"/>
  <c r="D20" i="11" s="1"/>
  <c r="E15" i="11"/>
  <c r="F9" i="11"/>
  <c r="F14" i="11"/>
  <c r="F12" i="11"/>
  <c r="H5" i="11"/>
  <c r="I5" i="11" s="1"/>
  <c r="J5" i="11" s="1"/>
  <c r="K5" i="11" s="1"/>
  <c r="L5" i="11" s="1"/>
  <c r="M5" i="11" s="1"/>
  <c r="N5" i="11" s="1"/>
  <c r="G4" i="11"/>
  <c r="E20" i="11" l="1"/>
  <c r="F20" i="11" s="1"/>
  <c r="F15" i="11"/>
  <c r="F10" i="11"/>
  <c r="F11" i="11"/>
  <c r="N4" i="11"/>
  <c r="O5" i="11"/>
  <c r="P5" i="11" s="1"/>
  <c r="Q5" i="11" s="1"/>
  <c r="R5" i="11" s="1"/>
  <c r="S5" i="11" s="1"/>
  <c r="T5" i="11" s="1"/>
  <c r="U5" i="11" s="1"/>
  <c r="H6" i="11"/>
  <c r="F22" i="11" l="1"/>
  <c r="E17" i="11"/>
  <c r="F16" i="11"/>
  <c r="U4" i="11"/>
  <c r="V5" i="11"/>
  <c r="W5" i="11" s="1"/>
  <c r="X5" i="11" s="1"/>
  <c r="Y5" i="11" s="1"/>
  <c r="Z5" i="11" s="1"/>
  <c r="AA5" i="11" s="1"/>
  <c r="AB5" i="11" s="1"/>
  <c r="I6" i="11"/>
  <c r="F17" i="11" l="1"/>
  <c r="D19" i="11"/>
  <c r="AC5" i="11"/>
  <c r="AD5" i="11" s="1"/>
  <c r="AE5" i="11" s="1"/>
  <c r="AF5" i="11" s="1"/>
  <c r="AG5" i="11" s="1"/>
  <c r="AH5" i="11" s="1"/>
  <c r="AB4" i="11"/>
  <c r="J6" i="11"/>
  <c r="D21" i="11" l="1"/>
  <c r="E19" i="11"/>
  <c r="F19" i="11"/>
  <c r="AI5" i="11"/>
  <c r="AJ5" i="11" s="1"/>
  <c r="AK5" i="11" s="1"/>
  <c r="AL5" i="11" s="1"/>
  <c r="AM5" i="11" s="1"/>
  <c r="AN5" i="11" s="1"/>
  <c r="AO5" i="11" s="1"/>
  <c r="K6" i="11"/>
  <c r="F26" i="11" l="1"/>
  <c r="E21" i="11"/>
  <c r="D24" i="11" s="1"/>
  <c r="F21" i="11"/>
  <c r="AP5" i="11"/>
  <c r="AQ5" i="11" s="1"/>
  <c r="AI4" i="11"/>
  <c r="L6" i="11"/>
  <c r="F24" i="11" l="1"/>
  <c r="F25" i="11"/>
  <c r="AR5" i="11"/>
  <c r="AQ6" i="11"/>
  <c r="AP4" i="11"/>
  <c r="M6" i="11"/>
  <c r="AS5" i="11" l="1"/>
  <c r="AR6" i="11"/>
  <c r="AT5" i="11" l="1"/>
  <c r="AS6" i="11"/>
  <c r="N6" i="11"/>
  <c r="O6" i="11"/>
  <c r="AU5" i="11" l="1"/>
  <c r="AT6" i="11"/>
  <c r="P6" i="11"/>
  <c r="AV5" i="11" l="1"/>
  <c r="AU6" i="11"/>
  <c r="Q6" i="11"/>
  <c r="AV6" i="11" l="1"/>
  <c r="R6" i="11"/>
  <c r="S6" i="11" l="1"/>
  <c r="T6" i="11" l="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<sst xmlns="http://schemas.openxmlformats.org/spreadsheetml/2006/main" count="58" uniqueCount="46">
  <si>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</si>
  <si>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</si>
  <si>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</si>
  <si>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</si>
  <si>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</si>
  <si>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</si>
  <si>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</si>
  <si>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</si>
  <si>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</si>
  <si>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</si>
  <si>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</si>
  <si>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</si>
  <si>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</si>
  <si>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</si>
  <si>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</si>
  <si>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</si>
  <si>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</si>
  <si>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Project start:</t>
  </si>
  <si>
    <t>ASSIGNED TO</t>
  </si>
  <si>
    <t>BTTRPIE</t>
  </si>
  <si>
    <t>L team</t>
  </si>
  <si>
    <t>Play area CAD</t>
  </si>
  <si>
    <t>Traingle &amp; ramp CAD</t>
  </si>
  <si>
    <t>Gantry CAD</t>
  </si>
  <si>
    <t>A team</t>
  </si>
  <si>
    <t>Amit</t>
  </si>
  <si>
    <t>Formal Presentation</t>
  </si>
  <si>
    <t>Alexander</t>
  </si>
  <si>
    <t>Preperatory Design</t>
  </si>
  <si>
    <t>Everyone</t>
  </si>
  <si>
    <t>Final Cad and Assembly</t>
  </si>
  <si>
    <t>Final CAD</t>
  </si>
  <si>
    <t>Assembly</t>
  </si>
  <si>
    <t>Programming Flowchart</t>
  </si>
  <si>
    <t>Finish robotics integration</t>
  </si>
  <si>
    <t>Assemble Robotics</t>
  </si>
  <si>
    <t>Program sorting algorithm</t>
  </si>
  <si>
    <t>Program gantry movment</t>
  </si>
  <si>
    <t>Work on report</t>
  </si>
  <si>
    <t>Make Schedule</t>
  </si>
  <si>
    <t>Programming and Robotics</t>
  </si>
  <si>
    <t>Final touches</t>
  </si>
  <si>
    <t>D - Day</t>
  </si>
  <si>
    <t>Finish software</t>
  </si>
  <si>
    <t>Finish visuals</t>
  </si>
  <si>
    <t>Finish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</si>
</sst>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sz val="11"/>
      <color rgb="FF1D2129"/>
      <name val="Arial"/>
      <family val="2"/>
      <scheme val="minor"/>
    </font>
    <font>
      <u/>
      <sz val="11"/>
      <color indexed="12"/>
      <name val="Arial"/>
      <family val="2"/>
      <scheme val="minor"/>
    </font>
    <font>
      <b/>
      <sz val="40"/>
      <color theme="1" tint="0.249977111117893"/>
      <name val="Arial Black"/>
      <family val="2"/>
      <scheme val="major"/>
    </font>
    <font>
      <b/>
      <sz val="16"/>
      <color theme="1" tint="0.499984740745262"/>
      <name val="Arial"/>
      <family val="2"/>
      <scheme val="minor"/>
    </font>
    <font>
      <sz val="16"/>
      <color theme="1" tint="0.499984740745262"/>
      <name val="Arial"/>
      <family val="2"/>
      <scheme val="minor"/>
    </font>
    <font>
      <b/>
      <sz val="16"/>
      <color theme="0"/>
      <name val="Arial Black"/>
      <family val="2"/>
      <scheme val="major"/>
    </font>
    <font>
      <sz val="11"/>
      <color theme="0"/>
      <name val="Arial Black"/>
      <family val="2"/>
      <scheme val="major"/>
    </font>
    <font>
      <b/>
      <sz val="16"/>
      <color theme="0"/>
      <name val="Arial"/>
      <family val="2"/>
      <scheme val="minor"/>
    </font>
    <font>
      <sz val="16"/>
      <color theme="0"/>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8">
    <xf numFmtId="0" fontId="0" fillId="0" borderId="0" xfId="0"/>
    <xf numFmtId="0" fontId="1" fillId="0" borderId="0" xfId="0" applyFont="1"/>
    <xf numFmtId="0" fontId="0" fillId="0" borderId="0" xfId="0" applyAlignment="1">
      <alignment horizont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2" applyAlignment="1">
      <alignment wrapText="1"/>
    </xf>
    <xf numFmtId="0" fontId="13" fillId="0" borderId="0" xfId="0" applyFont="1" applyAlignment="1">
      <alignment horizontal="center"/>
    </xf>
    <xf numFmtId="0" fontId="7" fillId="0" borderId="0" xfId="0" applyFont="1"/>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0" fillId="12" borderId="18" xfId="0" applyNumberFormat="1" applyFont="1" applyFill="1" applyBorder="1" applyAlignment="1">
      <alignment horizontal="center" vertical="center"/>
    </xf>
    <xf numFmtId="167" fontId="20" fillId="12" borderId="16" xfId="0" applyNumberFormat="1" applyFont="1" applyFill="1" applyBorder="1" applyAlignment="1">
      <alignment horizontal="center" vertical="center"/>
    </xf>
    <xf numFmtId="167" fontId="20" fillId="12" borderId="17" xfId="0" applyNumberFormat="1" applyFont="1" applyFill="1" applyBorder="1" applyAlignment="1">
      <alignment horizontal="center" vertical="center"/>
    </xf>
    <xf numFmtId="0" fontId="21" fillId="2" borderId="15" xfId="0" applyFont="1" applyFill="1" applyBorder="1" applyAlignment="1">
      <alignment horizontal="center" vertical="center" shrinkToFit="1"/>
    </xf>
    <xf numFmtId="0" fontId="21" fillId="2" borderId="13" xfId="0" applyFont="1" applyFill="1" applyBorder="1" applyAlignment="1">
      <alignment horizontal="center" vertical="center" shrinkToFit="1"/>
    </xf>
    <xf numFmtId="0" fontId="22" fillId="6" borderId="0" xfId="0" applyFont="1" applyFill="1" applyAlignment="1">
      <alignment horizontal="left" vertical="center" indent="1"/>
    </xf>
    <xf numFmtId="0" fontId="18" fillId="6" borderId="0" xfId="10" applyFont="1" applyFill="1" applyBorder="1" applyAlignment="1">
      <alignment vertical="center"/>
    </xf>
    <xf numFmtId="164" fontId="18"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8" fillId="3" borderId="5" xfId="11" applyFont="1" applyFill="1" applyBorder="1">
      <alignment horizontal="left" vertical="center" indent="2"/>
    </xf>
    <xf numFmtId="0" fontId="18" fillId="3" borderId="5" xfId="10" applyFont="1" applyFill="1" applyBorder="1" applyAlignment="1">
      <alignment vertical="center"/>
    </xf>
    <xf numFmtId="164" fontId="18" fillId="3" borderId="5" xfId="9" applyFont="1" applyFill="1" applyBorder="1">
      <alignment horizontal="center" vertical="center"/>
    </xf>
    <xf numFmtId="0" fontId="4" fillId="0" borderId="3" xfId="0" applyFont="1" applyBorder="1" applyAlignment="1">
      <alignment vertical="center"/>
    </xf>
    <xf numFmtId="0" fontId="18" fillId="3" borderId="6" xfId="11" applyFont="1" applyFill="1" applyBorder="1">
      <alignment horizontal="left" vertical="center" indent="2"/>
    </xf>
    <xf numFmtId="0" fontId="18" fillId="3" borderId="6" xfId="10" applyFont="1" applyFill="1" applyBorder="1" applyAlignment="1">
      <alignment vertical="center"/>
    </xf>
    <xf numFmtId="164" fontId="18" fillId="3" borderId="6" xfId="9" applyFont="1" applyFill="1" applyBorder="1">
      <alignment horizontal="center" vertical="center"/>
    </xf>
    <xf numFmtId="0" fontId="4" fillId="0" borderId="3" xfId="0" applyFont="1" applyBorder="1" applyAlignment="1">
      <alignment horizontal="right" vertical="center"/>
    </xf>
    <xf numFmtId="0" fontId="22" fillId="7" borderId="0" xfId="0" applyFont="1" applyFill="1" applyAlignment="1">
      <alignment horizontal="left" vertical="center" indent="1"/>
    </xf>
    <xf numFmtId="0" fontId="18" fillId="7" borderId="0" xfId="10" applyFont="1" applyFill="1" applyBorder="1" applyAlignment="1">
      <alignment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4" xfId="11" applyFont="1" applyFill="1" applyBorder="1">
      <alignment horizontal="left" vertical="center" indent="2"/>
    </xf>
    <xf numFmtId="0" fontId="18" fillId="4" borderId="4" xfId="10" applyFont="1" applyFill="1" applyBorder="1" applyAlignment="1">
      <alignment vertical="center"/>
    </xf>
    <xf numFmtId="164" fontId="18" fillId="4" borderId="4" xfId="9" applyFont="1" applyFill="1" applyBorder="1">
      <alignment horizontal="center" vertical="center"/>
    </xf>
    <xf numFmtId="0" fontId="22" fillId="8" borderId="0" xfId="0" applyFont="1" applyFill="1" applyAlignment="1">
      <alignment horizontal="left" vertical="center" indent="1"/>
    </xf>
    <xf numFmtId="0" fontId="18" fillId="8" borderId="0" xfId="10" applyFont="1" applyFill="1" applyBorder="1" applyAlignment="1">
      <alignment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8" fillId="5" borderId="7" xfId="11" applyFont="1" applyFill="1" applyBorder="1">
      <alignment horizontal="left" vertical="center" indent="2"/>
    </xf>
    <xf numFmtId="0" fontId="18" fillId="5" borderId="7" xfId="10" applyFont="1" applyFill="1" applyBorder="1" applyAlignment="1">
      <alignment vertical="center"/>
    </xf>
    <xf numFmtId="164" fontId="18" fillId="5" borderId="7" xfId="9" applyFont="1" applyFill="1" applyBorder="1">
      <alignment horizontal="center" vertical="center"/>
    </xf>
    <xf numFmtId="0" fontId="22" fillId="9" borderId="0" xfId="0" applyFont="1" applyFill="1" applyAlignment="1">
      <alignment horizontal="left" vertical="center" indent="1"/>
    </xf>
    <xf numFmtId="0" fontId="18" fillId="9" borderId="0" xfId="10" applyFont="1" applyFill="1" applyBorder="1" applyAlignment="1">
      <alignment vertical="center"/>
    </xf>
    <xf numFmtId="164" fontId="18"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9" xfId="0" applyFont="1" applyBorder="1" applyAlignment="1">
      <alignment vertical="center"/>
    </xf>
    <xf numFmtId="0" fontId="18" fillId="10" borderId="8" xfId="11" applyFont="1" applyFill="1" applyBorder="1">
      <alignment horizontal="left" vertical="center" indent="2"/>
    </xf>
    <xf numFmtId="0" fontId="18" fillId="10" borderId="8" xfId="10" applyFont="1" applyFill="1" applyBorder="1" applyAlignment="1">
      <alignment vertical="center"/>
    </xf>
    <xf numFmtId="164" fontId="18" fillId="10" borderId="8" xfId="9" applyFont="1" applyFill="1" applyBorder="1">
      <alignment horizontal="center" vertical="center"/>
    </xf>
    <xf numFmtId="0" fontId="18" fillId="0" borderId="0" xfId="11" applyFont="1" applyBorder="1">
      <alignment horizontal="left" vertical="center" indent="2"/>
    </xf>
    <xf numFmtId="0" fontId="18" fillId="0" borderId="0" xfId="10" applyFont="1" applyBorder="1" applyAlignment="1">
      <alignment vertical="center"/>
    </xf>
    <xf numFmtId="164" fontId="18" fillId="0" borderId="0" xfId="9" applyFont="1" applyBorder="1">
      <alignment horizontal="center" vertical="center"/>
    </xf>
    <xf numFmtId="0" fontId="23" fillId="0" borderId="0" xfId="5" applyFont="1" applyAlignment="1">
      <alignment horizontal="left" vertical="center" indent="1"/>
    </xf>
    <xf numFmtId="0" fontId="23" fillId="0" borderId="0" xfId="6"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2" applyAlignment="1">
      <alignment wrapText="1"/>
    </xf>
    <xf numFmtId="0" fontId="19" fillId="11" borderId="14" xfId="0" applyFont="1" applyFill="1" applyBorder="1" applyAlignment="1">
      <alignment horizontal="left" vertical="center" indent="1"/>
    </xf>
    <xf numFmtId="0" fontId="4" fillId="2" borderId="19" xfId="0" applyFont="1" applyFill="1" applyBorder="1" applyAlignment="1">
      <alignment horizontal="left" indent="1"/>
    </xf>
    <xf numFmtId="0" fontId="19" fillId="11" borderId="14" xfId="0" applyFont="1" applyFill="1" applyBorder="1" applyAlignment="1">
      <alignment vertical="center"/>
    </xf>
    <xf numFmtId="0" fontId="4" fillId="2" borderId="19" xfId="0" applyFont="1" applyFill="1" applyBorder="1"/>
    <xf numFmtId="0" fontId="19" fillId="11" borderId="14" xfId="0" applyFont="1" applyFill="1" applyBorder="1" applyAlignment="1">
      <alignment horizontal="center" vertical="center"/>
    </xf>
    <xf numFmtId="166" fontId="18" fillId="2" borderId="12" xfId="0" applyNumberFormat="1" applyFont="1" applyFill="1" applyBorder="1" applyAlignment="1">
      <alignment horizontal="center" vertical="center" wrapText="1"/>
    </xf>
    <xf numFmtId="166" fontId="18" fillId="2" borderId="16" xfId="0" applyNumberFormat="1" applyFont="1" applyFill="1" applyBorder="1" applyAlignment="1">
      <alignment horizontal="center" vertical="center" wrapText="1"/>
    </xf>
    <xf numFmtId="0" fontId="27" fillId="0" borderId="0" xfId="7" applyFont="1" applyAlignment="1">
      <alignment horizontal="left"/>
    </xf>
    <xf numFmtId="0" fontId="11" fillId="0" borderId="0" xfId="0" applyFont="1"/>
    <xf numFmtId="0" fontId="28" fillId="0" borderId="0" xfId="0" applyFont="1"/>
    <xf numFmtId="0" fontId="4" fillId="0" borderId="0" xfId="0" applyFont="1" applyBorder="1" applyAlignment="1">
      <alignment vertical="center"/>
    </xf>
    <xf numFmtId="0" fontId="29" fillId="0" borderId="0" xfId="0" applyFont="1" applyAlignment="1">
      <alignment horizontal="left"/>
    </xf>
    <xf numFmtId="0" fontId="30" fillId="0" borderId="0" xfId="0" applyFont="1"/>
    <xf numFmtId="0" fontId="31" fillId="0" borderId="0" xfId="7" applyFont="1" applyAlignment="1">
      <alignment horizontal="left"/>
    </xf>
    <xf numFmtId="0" fontId="13" fillId="0" borderId="0" xfId="0" applyFont="1"/>
    <xf numFmtId="0" fontId="32" fillId="0" borderId="0" xfId="0" applyFont="1"/>
    <xf numFmtId="165" fontId="29" fillId="0" borderId="0" xfId="8" applyFont="1" applyBorder="1" applyAlignment="1">
      <alignment horizontal="left"/>
    </xf>
    <xf numFmtId="0" fontId="26" fillId="0" borderId="0" xfId="4" applyFont="1" applyAlignment="1">
      <alignment horizontal="left"/>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4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3"/>
      <tableStyleElement type="headerRow" dxfId="42"/>
      <tableStyleElement type="totalRow" dxfId="41"/>
      <tableStyleElement type="firstColumn" dxfId="40"/>
      <tableStyleElement type="lastColumn" dxfId="39"/>
      <tableStyleElement type="firstRowStripe" dxfId="38"/>
      <tableStyleElement type="secondRowStripe" dxfId="37"/>
      <tableStyleElement type="firstColumnStripe" dxfId="36"/>
      <tableStyleElement type="secondColumnStripe" dxfId="3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V31"/>
  <sheetViews>
    <sheetView showGridLines="0" tabSelected="1" showRuler="0" zoomScale="75" zoomScaleNormal="100" zoomScalePageLayoutView="70" workbookViewId="0">
      <selection activeCell="B1" sqref="B1:AV27"/>
    </sheetView>
  </sheetViews>
  <sheetFormatPr defaultColWidth="8.69921875" defaultRowHeight="30" customHeight="1" x14ac:dyDescent="0.25"/>
  <cols>
    <col min="1" max="1" width="2.69921875" style="11" customWidth="1"/>
    <col min="2" max="2" width="22.69921875" customWidth="1"/>
    <col min="3" max="3" width="16.69921875" customWidth="1"/>
    <col min="4" max="4" width="10.69921875" style="2" customWidth="1"/>
    <col min="5" max="5" width="10.69921875" customWidth="1"/>
    <col min="6" max="6" width="6" hidden="1" customWidth="1"/>
    <col min="7" max="48" width="2.69921875" customWidth="1"/>
  </cols>
  <sheetData>
    <row r="1" spans="1:48" ht="90" customHeight="1" x14ac:dyDescent="1.45">
      <c r="A1" s="12"/>
      <c r="B1" s="97" t="s">
        <v>19</v>
      </c>
      <c r="C1" s="15"/>
      <c r="D1" s="16"/>
      <c r="E1" s="17"/>
      <c r="F1" s="1"/>
      <c r="G1" s="93" t="s">
        <v>17</v>
      </c>
      <c r="H1" s="94"/>
      <c r="I1" s="94"/>
      <c r="J1" s="94"/>
      <c r="K1" s="94"/>
      <c r="L1" s="94"/>
      <c r="M1" s="94"/>
      <c r="N1" s="95"/>
      <c r="O1" s="96">
        <f ca="1">TODAY()</f>
        <v>45957</v>
      </c>
      <c r="P1" s="92"/>
      <c r="Q1" s="92"/>
      <c r="R1" s="92"/>
      <c r="S1" s="92"/>
      <c r="T1" s="92"/>
      <c r="U1" s="92"/>
      <c r="V1" s="92"/>
      <c r="W1" s="92"/>
      <c r="X1" s="92"/>
    </row>
    <row r="2" spans="1:48" ht="30" customHeight="1" x14ac:dyDescent="0.6">
      <c r="B2" s="70"/>
      <c r="C2" s="71"/>
      <c r="D2" s="19"/>
      <c r="E2" s="18"/>
      <c r="G2" s="87"/>
      <c r="H2" s="88"/>
      <c r="I2" s="88"/>
      <c r="J2" s="88"/>
      <c r="K2" s="88"/>
      <c r="L2" s="88"/>
      <c r="M2" s="88"/>
      <c r="N2" s="89"/>
      <c r="O2" s="91">
        <v>1</v>
      </c>
      <c r="P2" s="92"/>
      <c r="Q2" s="92"/>
      <c r="R2" s="92"/>
      <c r="S2" s="92"/>
      <c r="T2" s="92"/>
      <c r="U2" s="92"/>
      <c r="V2" s="92"/>
      <c r="W2" s="92"/>
      <c r="X2" s="92"/>
    </row>
    <row r="3" spans="1:48" s="21" customFormat="1" ht="30" customHeight="1" x14ac:dyDescent="0.25">
      <c r="A3" s="11"/>
      <c r="B3" s="20"/>
      <c r="D3" s="22"/>
    </row>
    <row r="4" spans="1:48" s="21" customFormat="1" ht="30" customHeight="1" x14ac:dyDescent="0.25">
      <c r="A4" s="12"/>
      <c r="B4" s="23"/>
      <c r="D4" s="24"/>
      <c r="G4" s="86">
        <f ca="1">G5</f>
        <v>45957</v>
      </c>
      <c r="H4" s="85"/>
      <c r="I4" s="85"/>
      <c r="J4" s="85"/>
      <c r="K4" s="85"/>
      <c r="L4" s="85"/>
      <c r="M4" s="85"/>
      <c r="N4" s="85">
        <f ca="1">N5</f>
        <v>45964</v>
      </c>
      <c r="O4" s="85"/>
      <c r="P4" s="85"/>
      <c r="Q4" s="85"/>
      <c r="R4" s="85"/>
      <c r="S4" s="85"/>
      <c r="T4" s="85"/>
      <c r="U4" s="85">
        <f ca="1">U5</f>
        <v>45971</v>
      </c>
      <c r="V4" s="85"/>
      <c r="W4" s="85"/>
      <c r="X4" s="85"/>
      <c r="Y4" s="85"/>
      <c r="Z4" s="85"/>
      <c r="AA4" s="85"/>
      <c r="AB4" s="85">
        <f ca="1">AB5</f>
        <v>45978</v>
      </c>
      <c r="AC4" s="85"/>
      <c r="AD4" s="85"/>
      <c r="AE4" s="85"/>
      <c r="AF4" s="85"/>
      <c r="AG4" s="85"/>
      <c r="AH4" s="85"/>
      <c r="AI4" s="85">
        <f ca="1">AI5</f>
        <v>45985</v>
      </c>
      <c r="AJ4" s="85"/>
      <c r="AK4" s="85"/>
      <c r="AL4" s="85"/>
      <c r="AM4" s="85"/>
      <c r="AN4" s="85"/>
      <c r="AO4" s="85"/>
      <c r="AP4" s="85">
        <f ca="1">AP5</f>
        <v>45992</v>
      </c>
      <c r="AQ4" s="85"/>
      <c r="AR4" s="85"/>
      <c r="AS4" s="85"/>
      <c r="AT4" s="85"/>
      <c r="AU4" s="85"/>
      <c r="AV4" s="85"/>
    </row>
    <row r="5" spans="1:48" s="21" customFormat="1" ht="15" customHeight="1" x14ac:dyDescent="0.25">
      <c r="A5" s="79"/>
      <c r="B5" s="80" t="s">
        <v>3</v>
      </c>
      <c r="C5" s="82" t="s">
        <v>18</v>
      </c>
      <c r="D5" s="84" t="s">
        <v>1</v>
      </c>
      <c r="E5" s="84" t="s">
        <v>2</v>
      </c>
      <c r="G5" s="25">
        <f ca="1">Project_Start-WEEKDAY(Project_Start,1)+2+7*(Display_Week-1)</f>
        <v>45957</v>
      </c>
      <c r="H5" s="25">
        <f ca="1">G5+1</f>
        <v>45958</v>
      </c>
      <c r="I5" s="25">
        <f t="shared" ref="I5:AV5" ca="1" si="0">H5+1</f>
        <v>45959</v>
      </c>
      <c r="J5" s="25">
        <f t="shared" ca="1" si="0"/>
        <v>45960</v>
      </c>
      <c r="K5" s="25">
        <f t="shared" ca="1" si="0"/>
        <v>45961</v>
      </c>
      <c r="L5" s="25">
        <f t="shared" ca="1" si="0"/>
        <v>45962</v>
      </c>
      <c r="M5" s="26">
        <f t="shared" ca="1" si="0"/>
        <v>45963</v>
      </c>
      <c r="N5" s="27">
        <f ca="1">M5+1</f>
        <v>45964</v>
      </c>
      <c r="O5" s="25">
        <f ca="1">N5+1</f>
        <v>45965</v>
      </c>
      <c r="P5" s="25">
        <f t="shared" ca="1" si="0"/>
        <v>45966</v>
      </c>
      <c r="Q5" s="25">
        <f t="shared" ca="1" si="0"/>
        <v>45967</v>
      </c>
      <c r="R5" s="25">
        <f t="shared" ca="1" si="0"/>
        <v>45968</v>
      </c>
      <c r="S5" s="25">
        <f t="shared" ca="1" si="0"/>
        <v>45969</v>
      </c>
      <c r="T5" s="26">
        <f t="shared" ca="1" si="0"/>
        <v>45970</v>
      </c>
      <c r="U5" s="27">
        <f ca="1">T5+1</f>
        <v>45971</v>
      </c>
      <c r="V5" s="25">
        <f ca="1">U5+1</f>
        <v>45972</v>
      </c>
      <c r="W5" s="25">
        <f t="shared" ca="1" si="0"/>
        <v>45973</v>
      </c>
      <c r="X5" s="25">
        <f t="shared" ca="1" si="0"/>
        <v>45974</v>
      </c>
      <c r="Y5" s="25">
        <f t="shared" ca="1" si="0"/>
        <v>45975</v>
      </c>
      <c r="Z5" s="25">
        <f t="shared" ca="1" si="0"/>
        <v>45976</v>
      </c>
      <c r="AA5" s="26">
        <f t="shared" ca="1" si="0"/>
        <v>45977</v>
      </c>
      <c r="AB5" s="27">
        <f ca="1">AA5+1</f>
        <v>45978</v>
      </c>
      <c r="AC5" s="25">
        <f ca="1">AB5+1</f>
        <v>45979</v>
      </c>
      <c r="AD5" s="25">
        <f t="shared" ca="1" si="0"/>
        <v>45980</v>
      </c>
      <c r="AE5" s="25">
        <f t="shared" ca="1" si="0"/>
        <v>45981</v>
      </c>
      <c r="AF5" s="25">
        <f t="shared" ca="1" si="0"/>
        <v>45982</v>
      </c>
      <c r="AG5" s="25">
        <f t="shared" ca="1" si="0"/>
        <v>45983</v>
      </c>
      <c r="AH5" s="26">
        <f t="shared" ca="1" si="0"/>
        <v>45984</v>
      </c>
      <c r="AI5" s="27">
        <f ca="1">AH5+1</f>
        <v>45985</v>
      </c>
      <c r="AJ5" s="25">
        <f ca="1">AI5+1</f>
        <v>45986</v>
      </c>
      <c r="AK5" s="25">
        <f t="shared" ca="1" si="0"/>
        <v>45987</v>
      </c>
      <c r="AL5" s="25">
        <f t="shared" ca="1" si="0"/>
        <v>45988</v>
      </c>
      <c r="AM5" s="25">
        <f t="shared" ca="1" si="0"/>
        <v>45989</v>
      </c>
      <c r="AN5" s="25">
        <f t="shared" ca="1" si="0"/>
        <v>45990</v>
      </c>
      <c r="AO5" s="26">
        <f t="shared" ca="1" si="0"/>
        <v>45991</v>
      </c>
      <c r="AP5" s="27">
        <f ca="1">AO5+1</f>
        <v>45992</v>
      </c>
      <c r="AQ5" s="25">
        <f ca="1">AP5+1</f>
        <v>45993</v>
      </c>
      <c r="AR5" s="25">
        <f t="shared" ca="1" si="0"/>
        <v>45994</v>
      </c>
      <c r="AS5" s="25">
        <f t="shared" ca="1" si="0"/>
        <v>45995</v>
      </c>
      <c r="AT5" s="25">
        <f t="shared" ca="1" si="0"/>
        <v>45996</v>
      </c>
      <c r="AU5" s="25">
        <f t="shared" ca="1" si="0"/>
        <v>45997</v>
      </c>
      <c r="AV5" s="26">
        <f t="shared" ca="1" si="0"/>
        <v>45998</v>
      </c>
    </row>
    <row r="6" spans="1:48" s="21" customFormat="1" ht="15" customHeight="1" thickBot="1" x14ac:dyDescent="0.3">
      <c r="A6" s="79"/>
      <c r="B6" s="81"/>
      <c r="C6" s="83"/>
      <c r="D6" s="83"/>
      <c r="E6" s="83"/>
      <c r="G6" s="28" t="str">
        <f t="shared" ref="G6:AL6" ca="1" si="1">LEFT(TEXT(G5,"ddd"),1)</f>
        <v>M</v>
      </c>
      <c r="H6" s="29" t="str">
        <f t="shared" ca="1" si="1"/>
        <v>T</v>
      </c>
      <c r="I6" s="29" t="str">
        <f t="shared" ca="1" si="1"/>
        <v>W</v>
      </c>
      <c r="J6" s="29" t="str">
        <f t="shared" ca="1" si="1"/>
        <v>T</v>
      </c>
      <c r="K6" s="29" t="str">
        <f t="shared" ca="1" si="1"/>
        <v>F</v>
      </c>
      <c r="L6" s="29" t="str">
        <f t="shared" ca="1" si="1"/>
        <v>S</v>
      </c>
      <c r="M6" s="29" t="str">
        <f t="shared" ca="1" si="1"/>
        <v>S</v>
      </c>
      <c r="N6" s="29" t="str">
        <f t="shared" ca="1" si="1"/>
        <v>M</v>
      </c>
      <c r="O6" s="29" t="str">
        <f t="shared" ca="1" si="1"/>
        <v>T</v>
      </c>
      <c r="P6" s="29" t="str">
        <f t="shared" ca="1" si="1"/>
        <v>W</v>
      </c>
      <c r="Q6" s="29" t="str">
        <f t="shared" ca="1" si="1"/>
        <v>T</v>
      </c>
      <c r="R6" s="29" t="str">
        <f t="shared" ca="1" si="1"/>
        <v>F</v>
      </c>
      <c r="S6" s="29" t="str">
        <f t="shared" ca="1" si="1"/>
        <v>S</v>
      </c>
      <c r="T6" s="29" t="str">
        <f t="shared" ca="1" si="1"/>
        <v>S</v>
      </c>
      <c r="U6" s="29" t="str">
        <f t="shared" ca="1" si="1"/>
        <v>M</v>
      </c>
      <c r="V6" s="29" t="str">
        <f t="shared" ca="1" si="1"/>
        <v>T</v>
      </c>
      <c r="W6" s="29" t="str">
        <f t="shared" ca="1" si="1"/>
        <v>W</v>
      </c>
      <c r="X6" s="29" t="str">
        <f t="shared" ca="1" si="1"/>
        <v>T</v>
      </c>
      <c r="Y6" s="29" t="str">
        <f t="shared" ca="1" si="1"/>
        <v>F</v>
      </c>
      <c r="Z6" s="29" t="str">
        <f t="shared" ca="1" si="1"/>
        <v>S</v>
      </c>
      <c r="AA6" s="29" t="str">
        <f t="shared" ca="1" si="1"/>
        <v>S</v>
      </c>
      <c r="AB6" s="29" t="str">
        <f t="shared" ca="1" si="1"/>
        <v>M</v>
      </c>
      <c r="AC6" s="29" t="str">
        <f t="shared" ca="1" si="1"/>
        <v>T</v>
      </c>
      <c r="AD6" s="29" t="str">
        <f t="shared" ca="1" si="1"/>
        <v>W</v>
      </c>
      <c r="AE6" s="29" t="str">
        <f t="shared" ca="1" si="1"/>
        <v>T</v>
      </c>
      <c r="AF6" s="29" t="str">
        <f t="shared" ca="1" si="1"/>
        <v>F</v>
      </c>
      <c r="AG6" s="29" t="str">
        <f t="shared" ca="1" si="1"/>
        <v>S</v>
      </c>
      <c r="AH6" s="29" t="str">
        <f t="shared" ca="1" si="1"/>
        <v>S</v>
      </c>
      <c r="AI6" s="29" t="str">
        <f t="shared" ca="1" si="1"/>
        <v>M</v>
      </c>
      <c r="AJ6" s="29" t="str">
        <f t="shared" ca="1" si="1"/>
        <v>T</v>
      </c>
      <c r="AK6" s="29" t="str">
        <f t="shared" ca="1" si="1"/>
        <v>W</v>
      </c>
      <c r="AL6" s="29" t="str">
        <f t="shared" ca="1" si="1"/>
        <v>T</v>
      </c>
      <c r="AM6" s="29" t="str">
        <f t="shared" ref="AM6:AV6" ca="1" si="2">LEFT(TEXT(AM5,"ddd"),1)</f>
        <v>F</v>
      </c>
      <c r="AN6" s="29" t="str">
        <f t="shared" ca="1" si="2"/>
        <v>S</v>
      </c>
      <c r="AO6" s="29" t="str">
        <f t="shared" ca="1" si="2"/>
        <v>S</v>
      </c>
      <c r="AP6" s="29" t="str">
        <f t="shared" ca="1" si="2"/>
        <v>M</v>
      </c>
      <c r="AQ6" s="29" t="str">
        <f t="shared" ca="1" si="2"/>
        <v>T</v>
      </c>
      <c r="AR6" s="29" t="str">
        <f t="shared" ca="1" si="2"/>
        <v>W</v>
      </c>
      <c r="AS6" s="29" t="str">
        <f t="shared" ca="1" si="2"/>
        <v>T</v>
      </c>
      <c r="AT6" s="29" t="str">
        <f t="shared" ca="1" si="2"/>
        <v>F</v>
      </c>
      <c r="AU6" s="29" t="str">
        <f t="shared" ca="1" si="2"/>
        <v>S</v>
      </c>
      <c r="AV6" s="29" t="str">
        <f t="shared" ca="1" si="2"/>
        <v>S</v>
      </c>
    </row>
    <row r="7" spans="1:48" s="35" customFormat="1" ht="30" customHeight="1" thickBot="1" x14ac:dyDescent="0.3">
      <c r="A7" s="12"/>
      <c r="B7" s="30" t="s">
        <v>28</v>
      </c>
      <c r="C7" s="31"/>
      <c r="D7" s="32"/>
      <c r="E7" s="33"/>
      <c r="F7" s="4" t="str">
        <f t="shared" ref="F7:F27" si="3">IF(OR(ISBLANK(task_start),ISBLANK(task_end)),"",task_end-task_start+1)</f>
        <v/>
      </c>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row>
    <row r="8" spans="1:48" s="35" customFormat="1" ht="30" customHeight="1" thickBot="1" x14ac:dyDescent="0.3">
      <c r="A8" s="12"/>
      <c r="B8" s="36" t="s">
        <v>21</v>
      </c>
      <c r="C8" s="37" t="s">
        <v>20</v>
      </c>
      <c r="D8" s="38">
        <f ca="1">Project_Start</f>
        <v>45957</v>
      </c>
      <c r="E8" s="38">
        <f ca="1">D8+3</f>
        <v>45960</v>
      </c>
      <c r="F8" s="4">
        <f t="shared" ca="1" si="3"/>
        <v>4</v>
      </c>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row>
    <row r="9" spans="1:48" s="35" customFormat="1" ht="30" customHeight="1" thickBot="1" x14ac:dyDescent="0.3">
      <c r="A9" s="12"/>
      <c r="B9" s="40" t="s">
        <v>22</v>
      </c>
      <c r="C9" s="41" t="s">
        <v>20</v>
      </c>
      <c r="D9" s="42">
        <f ca="1">D8</f>
        <v>45957</v>
      </c>
      <c r="E9" s="42">
        <f ca="1">D9+3</f>
        <v>45960</v>
      </c>
      <c r="F9" s="4">
        <f t="shared" ca="1" si="3"/>
        <v>4</v>
      </c>
      <c r="G9" s="39"/>
      <c r="H9" s="39"/>
      <c r="I9" s="39"/>
      <c r="J9" s="39"/>
      <c r="K9" s="39"/>
      <c r="L9" s="39"/>
      <c r="M9" s="39"/>
      <c r="N9" s="39"/>
      <c r="O9" s="39"/>
      <c r="P9" s="39"/>
      <c r="Q9" s="39"/>
      <c r="R9" s="39"/>
      <c r="S9" s="43"/>
      <c r="T9" s="43"/>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row>
    <row r="10" spans="1:48" s="35" customFormat="1" ht="30" customHeight="1" thickBot="1" x14ac:dyDescent="0.3">
      <c r="A10" s="11"/>
      <c r="B10" s="40" t="s">
        <v>23</v>
      </c>
      <c r="C10" s="41" t="s">
        <v>27</v>
      </c>
      <c r="D10" s="42">
        <f ca="1">D8</f>
        <v>45957</v>
      </c>
      <c r="E10" s="42">
        <f ca="1">D10+4</f>
        <v>45961</v>
      </c>
      <c r="F10" s="4">
        <f t="shared" ca="1" si="3"/>
        <v>5</v>
      </c>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row>
    <row r="11" spans="1:48" s="35" customFormat="1" ht="30" customHeight="1" thickBot="1" x14ac:dyDescent="0.3">
      <c r="A11" s="11"/>
      <c r="B11" s="40" t="s">
        <v>39</v>
      </c>
      <c r="C11" s="41" t="s">
        <v>25</v>
      </c>
      <c r="D11" s="42">
        <f ca="1">D8</f>
        <v>45957</v>
      </c>
      <c r="E11" s="42">
        <f ca="1">D8+1</f>
        <v>45958</v>
      </c>
      <c r="F11" s="4">
        <f t="shared" ca="1" si="3"/>
        <v>2</v>
      </c>
      <c r="G11" s="39"/>
      <c r="H11" s="39"/>
      <c r="I11" s="39"/>
      <c r="J11" s="39"/>
      <c r="K11" s="39"/>
      <c r="L11" s="39"/>
      <c r="M11" s="39"/>
      <c r="N11" s="39"/>
      <c r="O11" s="39"/>
      <c r="P11" s="39"/>
      <c r="Q11" s="39"/>
      <c r="R11" s="39"/>
      <c r="S11" s="39"/>
      <c r="T11" s="39"/>
      <c r="U11" s="39"/>
      <c r="V11" s="39"/>
      <c r="W11" s="43"/>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row>
    <row r="12" spans="1:48" s="35" customFormat="1" ht="30" customHeight="1" thickBot="1" x14ac:dyDescent="0.3">
      <c r="A12" s="11"/>
      <c r="B12" s="40" t="s">
        <v>26</v>
      </c>
      <c r="C12" s="41" t="s">
        <v>25</v>
      </c>
      <c r="D12" s="42">
        <f ca="1">D8</f>
        <v>45957</v>
      </c>
      <c r="E12" s="42">
        <v>45968</v>
      </c>
      <c r="F12" s="4">
        <f t="shared" ca="1" si="3"/>
        <v>12</v>
      </c>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row>
    <row r="13" spans="1:48" s="35" customFormat="1" ht="30" customHeight="1" thickBot="1" x14ac:dyDescent="0.3">
      <c r="A13" s="12"/>
      <c r="B13" s="44" t="s">
        <v>30</v>
      </c>
      <c r="C13" s="45"/>
      <c r="D13" s="46"/>
      <c r="E13" s="47"/>
      <c r="F13" s="4" t="str">
        <f t="shared" si="3"/>
        <v/>
      </c>
    </row>
    <row r="14" spans="1:48" s="35" customFormat="1" ht="30" customHeight="1" thickBot="1" x14ac:dyDescent="0.3">
      <c r="A14" s="12"/>
      <c r="B14" s="48" t="s">
        <v>31</v>
      </c>
      <c r="C14" s="49" t="s">
        <v>29</v>
      </c>
      <c r="D14" s="50">
        <f ca="1">E10</f>
        <v>45961</v>
      </c>
      <c r="E14" s="50">
        <f ca="1">D14+2</f>
        <v>45963</v>
      </c>
      <c r="F14" s="4">
        <f t="shared" ca="1" si="3"/>
        <v>3</v>
      </c>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row>
    <row r="15" spans="1:48" s="35" customFormat="1" ht="30" customHeight="1" thickBot="1" x14ac:dyDescent="0.3">
      <c r="A15" s="11"/>
      <c r="B15" s="48" t="s">
        <v>32</v>
      </c>
      <c r="C15" s="49" t="s">
        <v>24</v>
      </c>
      <c r="D15" s="50">
        <f ca="1">D14+2</f>
        <v>45963</v>
      </c>
      <c r="E15" s="50">
        <f ca="1">D15+5</f>
        <v>45968</v>
      </c>
      <c r="F15" s="4">
        <f t="shared" ca="1" si="3"/>
        <v>6</v>
      </c>
      <c r="G15" s="39"/>
      <c r="H15" s="39"/>
      <c r="I15" s="39"/>
      <c r="J15" s="39"/>
      <c r="K15" s="39"/>
      <c r="L15" s="39"/>
      <c r="M15" s="39"/>
      <c r="N15" s="39"/>
      <c r="O15" s="39"/>
      <c r="P15" s="39"/>
      <c r="Q15" s="39"/>
      <c r="R15" s="39"/>
      <c r="S15" s="43"/>
      <c r="T15" s="43"/>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row>
    <row r="16" spans="1:48" s="35" customFormat="1" ht="30" customHeight="1" thickBot="1" x14ac:dyDescent="0.3">
      <c r="A16" s="11"/>
      <c r="B16" s="48" t="s">
        <v>33</v>
      </c>
      <c r="C16" s="49" t="s">
        <v>20</v>
      </c>
      <c r="D16" s="50">
        <f ca="1">D15</f>
        <v>45963</v>
      </c>
      <c r="E16" s="50">
        <f ca="1">D16+3</f>
        <v>45966</v>
      </c>
      <c r="F16" s="4">
        <f t="shared" ca="1" si="3"/>
        <v>4</v>
      </c>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row>
    <row r="17" spans="1:48" s="35" customFormat="1" ht="30" customHeight="1" thickBot="1" x14ac:dyDescent="0.3">
      <c r="A17" s="11"/>
      <c r="B17" s="48" t="s">
        <v>35</v>
      </c>
      <c r="C17" s="49" t="s">
        <v>24</v>
      </c>
      <c r="D17" s="50">
        <v>45965</v>
      </c>
      <c r="E17" s="50">
        <f>D17+2</f>
        <v>45967</v>
      </c>
      <c r="F17" s="4">
        <f t="shared" si="3"/>
        <v>3</v>
      </c>
      <c r="G17" s="39"/>
      <c r="H17" s="39"/>
      <c r="I17" s="39"/>
      <c r="J17" s="39"/>
      <c r="K17" s="39"/>
      <c r="L17" s="39"/>
      <c r="M17" s="39"/>
      <c r="N17" s="39"/>
      <c r="O17" s="39"/>
      <c r="P17" s="39"/>
      <c r="Q17" s="39"/>
      <c r="R17" s="39"/>
      <c r="S17" s="39"/>
      <c r="T17" s="39"/>
      <c r="U17" s="39"/>
      <c r="V17" s="39"/>
      <c r="W17" s="43"/>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row>
    <row r="18" spans="1:48" s="35" customFormat="1" ht="30" customHeight="1" thickBot="1" x14ac:dyDescent="0.3">
      <c r="A18" s="11"/>
      <c r="B18" s="51" t="s">
        <v>40</v>
      </c>
      <c r="C18" s="52"/>
      <c r="D18" s="53"/>
      <c r="E18" s="54"/>
      <c r="F18" s="4" t="str">
        <f t="shared" si="3"/>
        <v/>
      </c>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row>
    <row r="19" spans="1:48" s="35" customFormat="1" ht="30" customHeight="1" thickBot="1" x14ac:dyDescent="0.3">
      <c r="A19" s="11"/>
      <c r="B19" s="56" t="s">
        <v>34</v>
      </c>
      <c r="C19" s="57" t="s">
        <v>24</v>
      </c>
      <c r="D19" s="58">
        <f>E17</f>
        <v>45967</v>
      </c>
      <c r="E19" s="58">
        <f>D19+5</f>
        <v>45972</v>
      </c>
      <c r="F19" s="4">
        <f t="shared" si="3"/>
        <v>6</v>
      </c>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row>
    <row r="20" spans="1:48" s="35" customFormat="1" ht="30" customHeight="1" thickBot="1" x14ac:dyDescent="0.3">
      <c r="A20" s="11"/>
      <c r="B20" s="56" t="s">
        <v>36</v>
      </c>
      <c r="C20" s="57" t="s">
        <v>20</v>
      </c>
      <c r="D20" s="58">
        <f ca="1">E16</f>
        <v>45966</v>
      </c>
      <c r="E20" s="58">
        <f ca="1">D20+4</f>
        <v>45970</v>
      </c>
      <c r="F20" s="4">
        <f t="shared" ca="1" si="3"/>
        <v>5</v>
      </c>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row>
    <row r="21" spans="1:48" s="35" customFormat="1" ht="30" customHeight="1" thickBot="1" x14ac:dyDescent="0.3">
      <c r="A21" s="11"/>
      <c r="B21" s="56" t="s">
        <v>37</v>
      </c>
      <c r="C21" s="57" t="s">
        <v>24</v>
      </c>
      <c r="D21" s="58">
        <f>D19</f>
        <v>45967</v>
      </c>
      <c r="E21" s="58">
        <f>D21+5</f>
        <v>45972</v>
      </c>
      <c r="F21" s="4">
        <f t="shared" si="3"/>
        <v>6</v>
      </c>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row>
    <row r="22" spans="1:48" s="35" customFormat="1" ht="30" customHeight="1" thickBot="1" x14ac:dyDescent="0.3">
      <c r="A22" s="11"/>
      <c r="B22" s="56" t="s">
        <v>38</v>
      </c>
      <c r="C22" s="57" t="s">
        <v>29</v>
      </c>
      <c r="D22" s="58">
        <v>45968</v>
      </c>
      <c r="E22" s="58">
        <v>45982</v>
      </c>
      <c r="F22" s="4">
        <f t="shared" si="3"/>
        <v>15</v>
      </c>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row>
    <row r="23" spans="1:48" s="35" customFormat="1" ht="30" customHeight="1" thickBot="1" x14ac:dyDescent="0.3">
      <c r="A23" s="11"/>
      <c r="B23" s="59" t="s">
        <v>41</v>
      </c>
      <c r="C23" s="60"/>
      <c r="D23" s="61"/>
      <c r="E23" s="62"/>
      <c r="F23" s="4" t="str">
        <f t="shared" si="3"/>
        <v/>
      </c>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row>
    <row r="24" spans="1:48" s="35" customFormat="1" ht="30" customHeight="1" thickBot="1" x14ac:dyDescent="0.3">
      <c r="A24" s="11"/>
      <c r="B24" s="64" t="s">
        <v>43</v>
      </c>
      <c r="C24" s="65" t="s">
        <v>29</v>
      </c>
      <c r="D24" s="66">
        <f>E21</f>
        <v>45972</v>
      </c>
      <c r="E24" s="66">
        <f>E22</f>
        <v>45982</v>
      </c>
      <c r="F24" s="4">
        <f t="shared" si="3"/>
        <v>11</v>
      </c>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row>
    <row r="25" spans="1:48" s="35" customFormat="1" ht="30" customHeight="1" thickBot="1" x14ac:dyDescent="0.3">
      <c r="A25" s="11"/>
      <c r="B25" s="64" t="s">
        <v>44</v>
      </c>
      <c r="C25" s="65" t="s">
        <v>29</v>
      </c>
      <c r="D25" s="66">
        <v>45979</v>
      </c>
      <c r="E25" s="66">
        <f>E24</f>
        <v>45982</v>
      </c>
      <c r="F25" s="4">
        <f t="shared" si="3"/>
        <v>4</v>
      </c>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row>
    <row r="26" spans="1:48" s="35" customFormat="1" ht="30" customHeight="1" thickBot="1" x14ac:dyDescent="0.3">
      <c r="A26" s="11"/>
      <c r="B26" s="64" t="s">
        <v>42</v>
      </c>
      <c r="C26" s="65" t="s">
        <v>29</v>
      </c>
      <c r="D26" s="66">
        <v>45982</v>
      </c>
      <c r="E26" s="66">
        <f>D26</f>
        <v>45982</v>
      </c>
      <c r="F26" s="4">
        <f t="shared" si="3"/>
        <v>1</v>
      </c>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row>
    <row r="27" spans="1:48" s="35" customFormat="1" ht="30" customHeight="1" thickBot="1" x14ac:dyDescent="0.3">
      <c r="A27" s="11"/>
      <c r="B27" s="64" t="s">
        <v>45</v>
      </c>
      <c r="C27" s="65" t="s">
        <v>29</v>
      </c>
      <c r="D27" s="66">
        <v>45982</v>
      </c>
      <c r="E27" s="66">
        <v>45993</v>
      </c>
      <c r="F27" s="4">
        <f t="shared" si="3"/>
        <v>12</v>
      </c>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row>
    <row r="28" spans="1:48" s="35" customFormat="1" ht="30" customHeight="1" thickBot="1" x14ac:dyDescent="0.3">
      <c r="A28" s="11"/>
      <c r="B28" s="67"/>
      <c r="C28" s="68"/>
      <c r="D28" s="69"/>
      <c r="E28" s="69"/>
      <c r="F28" s="4"/>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row>
    <row r="30" spans="1:48" ht="30" customHeight="1" x14ac:dyDescent="0.25">
      <c r="C30" s="14"/>
      <c r="E30" s="13"/>
    </row>
    <row r="31" spans="1:48" ht="30" customHeight="1" x14ac:dyDescent="0.25">
      <c r="C31" s="3"/>
    </row>
  </sheetData>
  <mergeCells count="15">
    <mergeCell ref="G4:M4"/>
    <mergeCell ref="N4:T4"/>
    <mergeCell ref="U4:AA4"/>
    <mergeCell ref="AB4:AH4"/>
    <mergeCell ref="AI4:AO4"/>
    <mergeCell ref="AP4:AV4"/>
    <mergeCell ref="E5:E6"/>
    <mergeCell ref="O2:X2"/>
    <mergeCell ref="O1:X1"/>
    <mergeCell ref="G1:M1"/>
    <mergeCell ref="G2:M2"/>
    <mergeCell ref="A5:A6"/>
    <mergeCell ref="B5:B6"/>
    <mergeCell ref="C5:C6"/>
    <mergeCell ref="D5:D6"/>
  </mergeCells>
  <conditionalFormatting sqref="G8:AU12">
    <cfRule type="expression" dxfId="34" priority="9">
      <formula>AND(task_start&lt;=G$5,ROUNDDOWN((task_end-task_start+1)*task_progress,0)+task_start-1&gt;=G$5)</formula>
    </cfRule>
    <cfRule type="expression" dxfId="33" priority="10" stopIfTrue="1">
      <formula>AND(task_end&gt;=G$5,task_start&lt;H$5)</formula>
    </cfRule>
  </conditionalFormatting>
  <conditionalFormatting sqref="G14:AU17">
    <cfRule type="expression" dxfId="32" priority="7">
      <formula>AND(task_start&lt;=G$5,ROUNDDOWN((task_end-task_start+1)*task_progress,0)+task_start-1&gt;=G$5)</formula>
    </cfRule>
    <cfRule type="expression" dxfId="31" priority="8" stopIfTrue="1">
      <formula>AND(task_end&gt;=G$5,task_start&lt;H$5)</formula>
    </cfRule>
  </conditionalFormatting>
  <conditionalFormatting sqref="G19:AU22">
    <cfRule type="expression" dxfId="30" priority="5">
      <formula>AND(task_start&lt;=G$5,ROUNDDOWN((task_end-task_start+1)*task_progress,0)+task_start-1&gt;=G$5)</formula>
    </cfRule>
    <cfRule type="expression" dxfId="29" priority="6" stopIfTrue="1">
      <formula>AND(task_end&gt;=G$5,task_start&lt;H$5)</formula>
    </cfRule>
  </conditionalFormatting>
  <conditionalFormatting sqref="G24:AU27">
    <cfRule type="expression" dxfId="28" priority="39">
      <formula>AND(task_start&lt;=G$5,ROUNDDOWN((task_end-task_start+1)*task_progress,0)+task_start-1&gt;=G$5)</formula>
    </cfRule>
    <cfRule type="expression" dxfId="27" priority="40" stopIfTrue="1">
      <formula>AND(task_end&gt;=G$5,task_start&lt;H$5)</formula>
    </cfRule>
  </conditionalFormatting>
  <conditionalFormatting sqref="AV4:AV27">
    <cfRule type="expression" dxfId="26" priority="42">
      <formula>AND(TODAY()&gt;=AV$5, TODAY()&lt;#REF!)</formula>
    </cfRule>
  </conditionalFormatting>
  <conditionalFormatting sqref="AV8:AV12">
    <cfRule type="expression" dxfId="25" priority="45">
      <formula>AND(task_start&lt;=AV$5,ROUNDDOWN((task_end-task_start+1)*task_progress,0)+task_start-1&gt;=AV$5)</formula>
    </cfRule>
    <cfRule type="expression" dxfId="24" priority="46" stopIfTrue="1">
      <formula>AND(task_end&gt;=AV$5,task_start&lt;#REF!)</formula>
    </cfRule>
  </conditionalFormatting>
  <conditionalFormatting sqref="AV14:AV17">
    <cfRule type="expression" dxfId="23" priority="49">
      <formula>AND(task_start&lt;=AV$5,ROUNDDOWN((task_end-task_start+1)*task_progress,0)+task_start-1&gt;=AV$5)</formula>
    </cfRule>
    <cfRule type="expression" dxfId="22" priority="50" stopIfTrue="1">
      <formula>AND(task_end&gt;=AV$5,task_start&lt;#REF!)</formula>
    </cfRule>
  </conditionalFormatting>
  <conditionalFormatting sqref="AV19:AV22">
    <cfRule type="expression" dxfId="21" priority="53">
      <formula>AND(task_start&lt;=AV$5,ROUNDDOWN((task_end-task_start+1)*task_progress,0)+task_start-1&gt;=AV$5)</formula>
    </cfRule>
    <cfRule type="expression" dxfId="20" priority="54" stopIfTrue="1">
      <formula>AND(task_end&gt;=AV$5,task_start&lt;#REF!)</formula>
    </cfRule>
  </conditionalFormatting>
  <conditionalFormatting sqref="AV24:AV27">
    <cfRule type="expression" dxfId="19" priority="57">
      <formula>AND(task_start&lt;=AV$5,ROUNDDOWN((task_end-task_start+1)*task_progress,0)+task_start-1&gt;=AV$5)</formula>
    </cfRule>
    <cfRule type="expression" dxfId="18" priority="58" stopIfTrue="1">
      <formula>AND(task_end&gt;=AV$5,task_start&lt;#REF!)</formula>
    </cfRule>
  </conditionalFormatting>
  <dataValidations count="12">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7"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9"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s>
  <printOptions horizontalCentered="1"/>
  <pageMargins left="0" right="0" top="0" bottom="0" header="0" footer="0"/>
  <pageSetup scale="72" fitToHeight="0" orientation="landscape" r:id="rId1"/>
  <headerFooter differentFirst="1" scaleWithDoc="0">
    <oddFooter>Page &amp;P of &amp;N</oddFooter>
  </headerFooter>
  <ignoredErrors>
    <ignoredError sqref="E17 E2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5" customWidth="1"/>
    <col min="2" max="16384" width="9" style="1"/>
  </cols>
  <sheetData>
    <row r="1" spans="1:2" ht="46.5" customHeight="1" x14ac:dyDescent="0.25"/>
    <row r="2" spans="1:2" s="7" customFormat="1" ht="15.6" x14ac:dyDescent="0.25">
      <c r="A2" s="72" t="s">
        <v>6</v>
      </c>
      <c r="B2" s="6"/>
    </row>
    <row r="3" spans="1:2" s="9" customFormat="1" ht="27" customHeight="1" x14ac:dyDescent="0.25">
      <c r="A3" s="73"/>
      <c r="B3" s="10"/>
    </row>
    <row r="4" spans="1:2" s="8" customFormat="1" ht="30" x14ac:dyDescent="0.7">
      <c r="A4" s="74" t="s">
        <v>5</v>
      </c>
    </row>
    <row r="5" spans="1:2" ht="74.25" customHeight="1" x14ac:dyDescent="0.25">
      <c r="A5" s="75" t="s">
        <v>13</v>
      </c>
    </row>
    <row r="6" spans="1:2" ht="26.25" customHeight="1" x14ac:dyDescent="0.25">
      <c r="A6" s="74" t="s">
        <v>16</v>
      </c>
    </row>
    <row r="7" spans="1:2" s="5" customFormat="1" ht="205.05" customHeight="1" x14ac:dyDescent="0.25">
      <c r="A7" s="76" t="s">
        <v>15</v>
      </c>
    </row>
    <row r="8" spans="1:2" s="8" customFormat="1" ht="30" x14ac:dyDescent="0.7">
      <c r="A8" s="74" t="s">
        <v>7</v>
      </c>
    </row>
    <row r="9" spans="1:2" ht="41.4" x14ac:dyDescent="0.25">
      <c r="A9" s="75" t="s">
        <v>14</v>
      </c>
    </row>
    <row r="10" spans="1:2" s="5" customFormat="1" ht="28.05" customHeight="1" x14ac:dyDescent="0.25">
      <c r="A10" s="77" t="s">
        <v>12</v>
      </c>
    </row>
    <row r="11" spans="1:2" s="8" customFormat="1" ht="30" x14ac:dyDescent="0.7">
      <c r="A11" s="74" t="s">
        <v>4</v>
      </c>
    </row>
    <row r="12" spans="1:2" ht="27.6" x14ac:dyDescent="0.25">
      <c r="A12" s="75" t="s">
        <v>11</v>
      </c>
    </row>
    <row r="13" spans="1:2" s="5" customFormat="1" ht="28.05" customHeight="1" x14ac:dyDescent="0.25">
      <c r="A13" s="77" t="s">
        <v>0</v>
      </c>
    </row>
    <row r="14" spans="1:2" s="8" customFormat="1" ht="30" x14ac:dyDescent="0.7">
      <c r="A14" s="74" t="s">
        <v>8</v>
      </c>
    </row>
    <row r="15" spans="1:2" ht="75" customHeight="1" x14ac:dyDescent="0.25">
      <c r="A15" s="75" t="s">
        <v>9</v>
      </c>
    </row>
    <row r="16" spans="1:2" ht="69" x14ac:dyDescent="0.25">
      <c r="A16" s="75" t="s">
        <v>10</v>
      </c>
    </row>
    <row r="17" spans="1:1" x14ac:dyDescent="0.25">
      <c r="A17" s="78"/>
    </row>
    <row r="18" spans="1:1" x14ac:dyDescent="0.25">
      <c r="A18" s="78"/>
    </row>
    <row r="19" spans="1:1" x14ac:dyDescent="0.25">
      <c r="A19" s="78"/>
    </row>
    <row r="20" spans="1:1" x14ac:dyDescent="0.25">
      <c r="A20" s="78"/>
    </row>
    <row r="21" spans="1:1" x14ac:dyDescent="0.25">
      <c r="A21" s="78"/>
    </row>
    <row r="22" spans="1:1" x14ac:dyDescent="0.25">
      <c r="A22" s="78"/>
    </row>
    <row r="23" spans="1:1" x14ac:dyDescent="0.25">
      <c r="A23" s="78"/>
    </row>
    <row r="24" spans="1:1" x14ac:dyDescent="0.25">
      <c r="A24" s="7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Amit Weis</dc:creator>
  <dc:description/>
  <cp:lastModifiedBy>Amit Weis</cp:lastModifiedBy>
  <cp:lastPrinted>2025-10-28T01:24:24Z</cp:lastPrinted>
  <dcterms:created xsi:type="dcterms:W3CDTF">2022-03-11T22:41:12Z</dcterms:created>
  <dcterms:modified xsi:type="dcterms:W3CDTF">2025-10-28T01:25:33Z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